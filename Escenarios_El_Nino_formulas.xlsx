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aso a paso" sheetId="2" state="visible" r:id="rId4"/>
    <sheet name="Escenarios" sheetId="3" state="visible" r:id="rId5"/>
    <sheet name="Sensibilidad LGD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<sst xmlns="http://schemas.openxmlformats.org/spreadsheetml/2006/main" count="282" uniqueCount="207">
  <si>
    <t xml:space="preserve">Supuestos e insumos: pérdida por El Niño (corte agosto 2026)</t>
  </si>
  <si>
    <t xml:space="preserve">Azul = dato editable · Negro = fórmula · Verde = vínculo a otra hoja · Fondo amarillo = selector o calibración</t>
  </si>
  <si>
    <t xml:space="preserve">A. Datos internos (láminas, corte agosto 2026)</t>
  </si>
  <si>
    <t xml:space="preserve">Concepto</t>
  </si>
  <si>
    <t xml:space="preserve">Microfinanzas</t>
  </si>
  <si>
    <t xml:space="preserve">PYMES</t>
  </si>
  <si>
    <t xml:space="preserve">Empresas</t>
  </si>
  <si>
    <t xml:space="preserve">Fuente / nota</t>
  </si>
  <si>
    <t xml:space="preserve">Saldo expuesto (USD MM)</t>
  </si>
  <si>
    <t xml:space="preserve">Láminas internas. Zona: 142 cantones con influencia directa, sin Quito</t>
  </si>
  <si>
    <t xml:space="preserve">Saldo total del segmento (USD MM)</t>
  </si>
  <si>
    <t xml:space="preserve">Lámina de exposición</t>
  </si>
  <si>
    <t xml:space="preserve">% del segmento expuesto</t>
  </si>
  <si>
    <t xml:space="preserve">Saldo expuesto / saldo total</t>
  </si>
  <si>
    <t xml:space="preserve">PI actual (% de la cartera expuesta)</t>
  </si>
  <si>
    <t xml:space="preserve">Láminas de pérdida incurrida (se asume igual a julio)</t>
  </si>
  <si>
    <t xml:space="preserve">LGD aplicable</t>
  </si>
  <si>
    <t xml:space="preserve">Micro usa LGD de microcrédito; PYMES y Empresas, LGD productivo</t>
  </si>
  <si>
    <t xml:space="preserve">B. Parámetros del BCE: Apuntes de Economía No. 75 (abril 2024)</t>
  </si>
  <si>
    <t xml:space="preserve">Zona de riesgo</t>
  </si>
  <si>
    <t xml:space="preserve">Cartera del sistema (USD MM)</t>
  </si>
  <si>
    <t xml:space="preserve">Peso</t>
  </si>
  <si>
    <t xml:space="preserve">Shock PD moderado</t>
  </si>
  <si>
    <t xml:space="preserve">Shock PD severo</t>
  </si>
  <si>
    <t xml:space="preserve">Shock PD extremo</t>
  </si>
  <si>
    <t xml:space="preserve">Fuente</t>
  </si>
  <si>
    <t xml:space="preserve">Alta</t>
  </si>
  <si>
    <t xml:space="preserve">Cartera: BCE pág. 23, sección 2.3. Shocks: BCE pág. 39, Tabla 9. Extremo: supuesto propio (+15 pp en todas las zonas)</t>
  </si>
  <si>
    <t xml:space="preserve">Media</t>
  </si>
  <si>
    <t xml:space="preserve">Baja</t>
  </si>
  <si>
    <t xml:space="preserve">Total</t>
  </si>
  <si>
    <t xml:space="preserve">LGD (severidad)</t>
  </si>
  <si>
    <t xml:space="preserve">Tipo de crédito</t>
  </si>
  <si>
    <t xml:space="preserve">LGD</t>
  </si>
  <si>
    <t xml:space="preserve">Microcrédito</t>
  </si>
  <si>
    <t xml:space="preserve">BCE pág. 37, primer párrafo; se repite en la Tabla 9, pág. 39</t>
  </si>
  <si>
    <t xml:space="preserve">Productivo (PYMES y Empresas)</t>
  </si>
  <si>
    <t xml:space="preserve">Pérdida esperada de la banca privada (para el factor de Empresas)</t>
  </si>
  <si>
    <t xml:space="preserve">Escenario BCE</t>
  </si>
  <si>
    <t xml:space="preserve">Pérdida esperada (USD MM)</t>
  </si>
  <si>
    <t xml:space="preserve">Base</t>
  </si>
  <si>
    <t xml:space="preserve">BCE pág. 49, Tabla 15, fila Bancos privados</t>
  </si>
  <si>
    <t xml:space="preserve">Moderado</t>
  </si>
  <si>
    <t xml:space="preserve">Severo</t>
  </si>
  <si>
    <t xml:space="preserve">C. Selectores y calibraciones (editables)</t>
  </si>
  <si>
    <t xml:space="preserve">Nota</t>
  </si>
  <si>
    <t xml:space="preserve">Escenario asignado en la lámina</t>
  </si>
  <si>
    <t xml:space="preserve">Factor</t>
  </si>
  <si>
    <t xml:space="preserve">Opciones: Moderado, Severo, Extremo, Factor. Cambia el valor para ver otro escenario</t>
  </si>
  <si>
    <t xml:space="preserve">PI El Niño de la lámina de micro (calibración de julio)</t>
  </si>
  <si>
    <t xml:space="preserve">Solo micro, escenario severo: 15,5 % − 9,8 % = 5,7 pp</t>
  </si>
  <si>
    <t xml:space="preserve">Usar la calibración de la lámina en micro (1 = sí; 0 = mezcla exacta del sistema)</t>
  </si>
  <si>
    <t xml:space="preserve">Con 0, micro severo usa 8,06 pp × 70 % = 5,64 pp (15,4 %)</t>
  </si>
  <si>
    <t xml:space="preserve">Usar los valores de la lámina en el factor (1 = sí; 0 = factor exacto)</t>
  </si>
  <si>
    <t xml:space="preserve">Con 1: factor 1,6 y PI redondeada a 1 decimal (Empresas 2,9 %, como la lámina). Con 0: factor 1,555 sin redondear (2,8 %)</t>
  </si>
  <si>
    <t xml:space="preserve">Paso a paso: de la pérdida actual a la pérdida por El Niño</t>
  </si>
  <si>
    <t xml:space="preserve">Haz clic en cualquier número para ver su fórmula. Columna G: la fórmula en palabras; columna H: la fuente.</t>
  </si>
  <si>
    <t xml:space="preserve">Paso</t>
  </si>
  <si>
    <t xml:space="preserve">Cómo se calcula</t>
  </si>
  <si>
    <t xml:space="preserve">Dato interno</t>
  </si>
  <si>
    <t xml:space="preserve">Láminas internas, corte agosto 2026</t>
  </si>
  <si>
    <t xml:space="preserve">Dato interno. Total = pérdida actual total / saldo total</t>
  </si>
  <si>
    <t xml:space="preserve">Láminas internas</t>
  </si>
  <si>
    <t xml:space="preserve">Pérdida actual (USD MM)</t>
  </si>
  <si>
    <t xml:space="preserve">F1: Saldo expuesto × PI actual. La PI equivale a PD × LGD</t>
  </si>
  <si>
    <t xml:space="preserve">BCE págs. 35-36; Moody's pág. 45; Hu y Perraudin pág. 3</t>
  </si>
  <si>
    <t xml:space="preserve">ΔPD moderado (aumento de la PD)</t>
  </si>
  <si>
    <t xml:space="preserve">F2: Σ peso de zona × shock moderado = 18,6%×6 + 24,0%×5 + 57,4%×3</t>
  </si>
  <si>
    <t xml:space="preserve">BCE pág. 23 (pesos) y pág. 39, Tabla 9 (shocks)</t>
  </si>
  <si>
    <t xml:space="preserve">ΔPD severo</t>
  </si>
  <si>
    <t xml:space="preserve">F2: Σ peso de zona × shock severo = 18,6%×15 + 24,0%×10 + 57,4%×5</t>
  </si>
  <si>
    <t xml:space="preserve">BCE pág. 23 y pág. 39, Tabla 9</t>
  </si>
  <si>
    <t xml:space="preserve">ΔPD extremo</t>
  </si>
  <si>
    <t xml:space="preserve">Toda la cartera como zona Alta: +15 pp</t>
  </si>
  <si>
    <t xml:space="preserve">Supuesto propio</t>
  </si>
  <si>
    <t xml:space="preserve">Dato del BCE: 70 % microcrédito, 40 % productivo. Se mantiene fija en los escenarios</t>
  </si>
  <si>
    <t xml:space="preserve">BCE pág. 37; Tabla 9, pág. 39</t>
  </si>
  <si>
    <t xml:space="preserve">ΔPI moderado (aumento de la tasa de pérdida)</t>
  </si>
  <si>
    <t xml:space="preserve">F3: ΔPD × LGD</t>
  </si>
  <si>
    <t xml:space="preserve">BCE págs. 35-36 y Tabla 9</t>
  </si>
  <si>
    <t xml:space="preserve">ΔPI severo con la mezcla del sistema</t>
  </si>
  <si>
    <t xml:space="preserve">ΔPI severo usado</t>
  </si>
  <si>
    <t xml:space="preserve">Micro: con calibración, 15,5 % − 9,8 % = 5,7 pp (lámina); sin ella, 5,64 pp. PYMES y Empresas: igual a la fila 16</t>
  </si>
  <si>
    <t xml:space="preserve">Lámina de micro; Supuestos B33:B34</t>
  </si>
  <si>
    <t xml:space="preserve">ΔPI extremo</t>
  </si>
  <si>
    <t xml:space="preserve">F3: ΔPD extremo × LGD</t>
  </si>
  <si>
    <t xml:space="preserve">Factor proporcional (severo / base)</t>
  </si>
  <si>
    <t xml:space="preserve">F5: 1.230 / 791 = 1,555; se redondea a 1,6 si Supuestos B35 = 1</t>
  </si>
  <si>
    <t xml:space="preserve">BCE pág. 49, Tabla 15</t>
  </si>
  <si>
    <t xml:space="preserve">PI con factor</t>
  </si>
  <si>
    <t xml:space="preserve">PI actual × factor. Con Supuestos B35 = 1 se redondea a 1 decimal, como la lámina (1,8 % × 1,6 = 2,88 % ≈ 2,9 %)</t>
  </si>
  <si>
    <t xml:space="preserve">Pérdida El Niño: moderado (USD MM)</t>
  </si>
  <si>
    <t xml:space="preserve">F4: Pérdida actual + Saldo × ΔPI moderado</t>
  </si>
  <si>
    <t xml:space="preserve">BCE págs. 35-36</t>
  </si>
  <si>
    <t xml:space="preserve">Pérdida El Niño: severo (USD MM)</t>
  </si>
  <si>
    <t xml:space="preserve">F4: Pérdida actual + Saldo × ΔPI severo usado</t>
  </si>
  <si>
    <t xml:space="preserve">Pérdida El Niño: extremo (USD MM)</t>
  </si>
  <si>
    <t xml:space="preserve">F4: Pérdida actual + Saldo × ΔPI extremo</t>
  </si>
  <si>
    <t xml:space="preserve">Pérdida El Niño: factor (USD MM)</t>
  </si>
  <si>
    <t xml:space="preserve">Saldo × PI con factor</t>
  </si>
  <si>
    <t xml:space="preserve">Selector de la hoja Supuestos (fila 32)</t>
  </si>
  <si>
    <t xml:space="preserve">Pérdida El Niño asignada (USD MM)</t>
  </si>
  <si>
    <t xml:space="preserve">Toma la fila 23, 24, 25 o 26 según el escenario elegido</t>
  </si>
  <si>
    <t xml:space="preserve">—</t>
  </si>
  <si>
    <t xml:space="preserve">PI El Niño asignada</t>
  </si>
  <si>
    <t xml:space="preserve">Pérdida El Niño / saldo expuesto</t>
  </si>
  <si>
    <t xml:space="preserve">Pérdida adicional asignada (USD MM)</t>
  </si>
  <si>
    <t xml:space="preserve">Pérdida El Niño − pérdida actual</t>
  </si>
  <si>
    <t xml:space="preserve">Resumen de escenarios por segmento</t>
  </si>
  <si>
    <t xml:space="preserve">Las láminas combinan: severo en Microfinanzas, moderado en PYMES y factor en Empresas</t>
  </si>
  <si>
    <t xml:space="preserve">1. Pérdida total por escenario (USD MM)</t>
  </si>
  <si>
    <t xml:space="preserve">Segmento</t>
  </si>
  <si>
    <t xml:space="preserve">Pérdida actual</t>
  </si>
  <si>
    <t xml:space="preserve">Moderado BCE</t>
  </si>
  <si>
    <t xml:space="preserve">Severo BCE</t>
  </si>
  <si>
    <t xml:space="preserve">Extremo</t>
  </si>
  <si>
    <t xml:space="preserve">Asignado (lámina)</t>
  </si>
  <si>
    <t xml:space="preserve">Escenario asignado</t>
  </si>
  <si>
    <t xml:space="preserve">2. PI El Niño (% de la cartera expuesta)</t>
  </si>
  <si>
    <t xml:space="preserve">3. Pérdida adicional frente a la actual (USD MM)</t>
  </si>
  <si>
    <t xml:space="preserve">Moderado BCE ≈ efectos del Niño 1997-98; severo BCE ≈ dificultades crediticias de la pandemia (BCE pág. 40). Extremo: supuesto propio. Factor: BCE pág. 49, Tabla 15. Los totales pueden diferir en ±0,1 MM de las láminas porque aquí se suman valores sin redondear.</t>
  </si>
  <si>
    <t xml:space="preserve">Sensibilidad a la LGD: Microfinanzas, escenario severo</t>
  </si>
  <si>
    <t xml:space="preserve">Mantener la LGD fija tiende a subestimar: la recuperación cae cuando suben los incumplimientos (Hu y Perraudin, págs. 1 y 15)</t>
  </si>
  <si>
    <t xml:space="preserve">Valor</t>
  </si>
  <si>
    <t xml:space="preserve">Saldo expuesto micro (USD MM)</t>
  </si>
  <si>
    <t xml:space="preserve">Vínculo</t>
  </si>
  <si>
    <t xml:space="preserve">PI actual</t>
  </si>
  <si>
    <t xml:space="preserve">LGD base (BCE)</t>
  </si>
  <si>
    <t xml:space="preserve">PD implícita actual</t>
  </si>
  <si>
    <t xml:space="preserve">PI actual / LGD base</t>
  </si>
  <si>
    <t xml:space="preserve">ΔPD implícito</t>
  </si>
  <si>
    <t xml:space="preserve">ΔPI / LGD base</t>
  </si>
  <si>
    <t xml:space="preserve">PD en estrés</t>
  </si>
  <si>
    <t xml:space="preserve">PD implícita + ΔPD</t>
  </si>
  <si>
    <t xml:space="preserve">LGD alternativa</t>
  </si>
  <si>
    <t xml:space="preserve">PI El Niño</t>
  </si>
  <si>
    <t xml:space="preserve">Pérdida El Niño (USD MM)</t>
  </si>
  <si>
    <t xml:space="preserve">Diferencia vs. LGD base (USD MM)</t>
  </si>
  <si>
    <t xml:space="preserve">Fórmula: PI El Niño = PD en estrés × LGD alternativa. Con LGD de 70 % se reproduce el 15,5 % de la lámina.</t>
  </si>
  <si>
    <t xml:space="preserve">Fuentes: qué dice cada autor y dónde se usa en el Excel</t>
  </si>
  <si>
    <t xml:space="preserve">#</t>
  </si>
  <si>
    <t xml:space="preserve">Dato o idea</t>
  </si>
  <si>
    <t xml:space="preserve">Ubicación exacta</t>
  </si>
  <si>
    <t xml:space="preserve">Qué dice</t>
  </si>
  <si>
    <t xml:space="preserve">Dónde se usa</t>
  </si>
  <si>
    <t xml:space="preserve">Fórmula de pérdida esperada</t>
  </si>
  <si>
    <t xml:space="preserve">BCE (2024), Apuntes de Economía No. 75</t>
  </si>
  <si>
    <t xml:space="preserve">Págs. 35-36, sección 3.3</t>
  </si>
  <si>
    <t xml:space="preserve">"se utiliza el cálculo de Pérdida Esperada (PE), establecido por las mejores prácticas internacionales de Basilea III": PE = PD × EAD × LGD</t>
  </si>
  <si>
    <t xml:space="preserve">Paso a paso, pasos 1, 4 y 6</t>
  </si>
  <si>
    <t xml:space="preserve">Tasa de pérdida = incumplimiento × LGD</t>
  </si>
  <si>
    <t xml:space="preserve">Moody's (2007), Corporate Default and Recovery Rates, 1920-2006</t>
  </si>
  <si>
    <t xml:space="preserve">Pág. 45, Credit Loss Rate Calculations</t>
  </si>
  <si>
    <t xml:space="preserve">"Credit losses are therefore a function of both probability of default (PD) as well as the severity of default (LGD)." Fórmula l = D × (1 − r)</t>
  </si>
  <si>
    <t xml:space="preserve">Justifica usar la PI como PD × LGD (paso 1)</t>
  </si>
  <si>
    <t xml:space="preserve">Hu y Perraudin (2006), The Dependence of Recovery Rates and Defaults</t>
  </si>
  <si>
    <t xml:space="preserve">Pág. 3, sección 1; pág. 11, ecuación 5.1</t>
  </si>
  <si>
    <t xml:space="preserve">"We define total credit losses as the default rate in the quarter times one minus the average recovery rate in the quarter." L = D × (1 − R)</t>
  </si>
  <si>
    <t xml:space="preserve">Recuperación y LGD</t>
  </si>
  <si>
    <t xml:space="preserve">Hu y Perraudin (2006)</t>
  </si>
  <si>
    <t xml:space="preserve">Pág. 4, sección 2.1</t>
  </si>
  <si>
    <t xml:space="preserve">Recuperación = valor de mercado del bono / principal impago, un mes después del incumplimiento; por eso 1 − R es la LGD</t>
  </si>
  <si>
    <t xml:space="preserve">Paso 1</t>
  </si>
  <si>
    <t xml:space="preserve">Shocks de PD por zona</t>
  </si>
  <si>
    <t xml:space="preserve">BCE (2024)</t>
  </si>
  <si>
    <t xml:space="preserve">Pág. 39, Tabla 9</t>
  </si>
  <si>
    <t xml:space="preserve">Moderado: +6 / +5 / +3 pp; severo: +15 / +10 / +5 pp. LGD: "Se mantiene igual al escenario base"</t>
  </si>
  <si>
    <t xml:space="preserve">Supuestos D14:E16; Paso a paso, paso 2</t>
  </si>
  <si>
    <t xml:space="preserve">Pesos por zona</t>
  </si>
  <si>
    <t xml:space="preserve">Pág. 23, sección 2.3, primer párrafo</t>
  </si>
  <si>
    <t xml:space="preserve">"USD 3.830 millones se localiza en zonas con riesgo alto, USD 4.940 millones con riesgo medio y USD 11.804 millones con riesgo bajo"</t>
  </si>
  <si>
    <t xml:space="preserve">Supuestos B14:C17</t>
  </si>
  <si>
    <t xml:space="preserve">LGD por segmento</t>
  </si>
  <si>
    <t xml:space="preserve">Pág. 37, primer párrafo</t>
  </si>
  <si>
    <t xml:space="preserve">"se atribuyó que el LGD para microcrédito, consumo y productivo sean 70, 60 y 40 %, respectivamente"</t>
  </si>
  <si>
    <t xml:space="preserve">Supuestos B21:B22; Paso a paso, paso 3</t>
  </si>
  <si>
    <t xml:space="preserve">Factor proporcional</t>
  </si>
  <si>
    <t xml:space="preserve">Pág. 49, Tabla 15</t>
  </si>
  <si>
    <t xml:space="preserve">Bancos privados: pérdida esperada de 791 (base), 1.018 (moderado) y 1.230 (severo) MM</t>
  </si>
  <si>
    <t xml:space="preserve">Supuestos B26:B28; Paso a paso, paso 5</t>
  </si>
  <si>
    <t xml:space="preserve">Interpretación de escenarios</t>
  </si>
  <si>
    <t xml:space="preserve">Pág. 40, primer párrafo</t>
  </si>
  <si>
    <t xml:space="preserve">Moderado: "se replican los efectos del FEN de los años 1997-1998"; severo: "las dificultades crediticias mostradas en la pandemia de COVID-19"</t>
  </si>
  <si>
    <t xml:space="preserve">Escenarios, nota</t>
  </si>
  <si>
    <t xml:space="preserve">Zona de afectación</t>
  </si>
  <si>
    <t xml:space="preserve">Pág. 11, segundo párrafo</t>
  </si>
  <si>
    <t xml:space="preserve">"comprende 17 provincias, 143 cantones y 489 parroquias" (los 142 usados = sin Quito)</t>
  </si>
  <si>
    <t xml:space="preserve">Supuestos E6</t>
  </si>
  <si>
    <t xml:space="preserve">LGD sube en crisis</t>
  </si>
  <si>
    <t xml:space="preserve">Pág. 1 (resumen); pág. 22 (Tabla 5); pág. 15 (conclusión)</t>
  </si>
  <si>
    <t xml:space="preserve">Incumplimiento y recuperación "are, in fact, negatively correlated"; correlación de −0,22 desde 1982; "recoveries tend to be low when default rates are high"</t>
  </si>
  <si>
    <t xml:space="preserve">Sensibilidad LGD</t>
  </si>
  <si>
    <t xml:space="preserve">Recuperación y ciclo</t>
  </si>
  <si>
    <t xml:space="preserve">Moody's (2007)</t>
  </si>
  <si>
    <t xml:space="preserve">Pág. 8, último párrafo</t>
  </si>
  <si>
    <t xml:space="preserve">"Strong macroeconomic conditions and low default rates helped support the recovery values"</t>
  </si>
  <si>
    <t xml:space="preserve">Tasa de pérdida como base</t>
  </si>
  <si>
    <t xml:space="preserve">NIIF 9, ejemplos ilustrativos</t>
  </si>
  <si>
    <t xml:space="preserve">Ejemplo 9 (párr. IE53)</t>
  </si>
  <si>
    <t xml:space="preserve">La pérdida esperada a 12 meses puede medirse con un enfoque de tasa de pérdida, sin PD explícita</t>
  </si>
  <si>
    <t xml:space="preserve">Escenario extremo</t>
  </si>
  <si>
    <t xml:space="preserve">+15 pp de PD en toda la cartera expuesta, como si todo fuera zona Alta</t>
  </si>
  <si>
    <t xml:space="preserve">Supuestos F14:F16</t>
  </si>
  <si>
    <t xml:space="preserve">Saldos y PI actual</t>
  </si>
  <si>
    <t xml:space="preserve">Corte agosto 2026</t>
  </si>
  <si>
    <t xml:space="preserve">Saldo expuesto, saldo total del segmento y PI actual por segmento</t>
  </si>
  <si>
    <t xml:space="preserve">Supuestos B6:D9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</si>
</sst>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%;\(0.0%\);\-"/>
    <numFmt numFmtId="167" formatCode="0.00%;\(0.00%\);\-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2.35" hidden="false" customHeight="false" outlineLevel="0" collapsed="false">
      <c r="A6" s="5" t="s">
        <v>8</v>
      </c>
      <c r="B6" s="6" t="n">
        <v>449.2</v>
      </c>
      <c r="C6" s="6" t="n">
        <v>334</v>
      </c>
      <c r="D6" s="6" t="n">
        <v>746.6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2329.4</v>
      </c>
      <c r="C7" s="6" t="n">
        <v>1672.4</v>
      </c>
      <c r="D7" s="6" t="n">
        <v>3696.5</v>
      </c>
      <c r="E7" s="7" t="s">
        <v>11</v>
      </c>
    </row>
    <row r="8" customFormat="false" ht="15" hidden="false" customHeight="false" outlineLevel="0" collapsed="false">
      <c r="A8" s="5" t="s">
        <v>12</v>
      </c>
      <c r="B8" s="8" t="n">
        <f aca="false">B6/B7</f>
        <v>0.192839357774534</v>
      </c>
      <c r="C8" s="8" t="n">
        <f aca="false">C6/C7</f>
        <v>0.199712987323607</v>
      </c>
      <c r="D8" s="8" t="n">
        <f aca="false">D6/D7</f>
        <v>0.201974841065873</v>
      </c>
      <c r="E8" s="7" t="s">
        <v>13</v>
      </c>
    </row>
    <row r="9" customFormat="false" ht="15" hidden="false" customHeight="false" outlineLevel="0" collapsed="false">
      <c r="A9" s="5" t="s">
        <v>14</v>
      </c>
      <c r="B9" s="9" t="n">
        <v>0.098</v>
      </c>
      <c r="C9" s="9" t="n">
        <v>0.066</v>
      </c>
      <c r="D9" s="9" t="n">
        <v>0.018</v>
      </c>
      <c r="E9" s="7" t="s">
        <v>15</v>
      </c>
    </row>
    <row r="10" customFormat="false" ht="22.35" hidden="false" customHeight="false" outlineLevel="0" collapsed="false">
      <c r="A10" s="5" t="s">
        <v>16</v>
      </c>
      <c r="B10" s="8" t="n">
        <f aca="false">$B$21</f>
        <v>0.7</v>
      </c>
      <c r="C10" s="8" t="n">
        <f aca="false">$B$22</f>
        <v>0.4</v>
      </c>
      <c r="D10" s="8" t="n">
        <f aca="false">$B$22</f>
        <v>0.4</v>
      </c>
      <c r="E10" s="7" t="s">
        <v>17</v>
      </c>
    </row>
    <row r="12" customFormat="false" ht="15" hidden="false" customHeight="false" outlineLevel="0" collapsed="false">
      <c r="A12" s="3" t="s">
        <v>18</v>
      </c>
    </row>
    <row r="13" customFormat="false" ht="35.05" hidden="false" customHeight="false" outlineLevel="0" collapsed="false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  <c r="G13" s="4" t="s">
        <v>25</v>
      </c>
    </row>
    <row r="14" customFormat="false" ht="24" hidden="false" customHeight="true" outlineLevel="0" collapsed="false">
      <c r="A14" s="5" t="s">
        <v>26</v>
      </c>
      <c r="B14" s="6" t="n">
        <v>3830</v>
      </c>
      <c r="C14" s="8" t="n">
        <f aca="false">B14/$B$17</f>
        <v>0.186157285894819</v>
      </c>
      <c r="D14" s="10" t="n">
        <v>0.06</v>
      </c>
      <c r="E14" s="10" t="n">
        <v>0.15</v>
      </c>
      <c r="F14" s="10" t="n">
        <v>0.15</v>
      </c>
      <c r="G14" s="7" t="s">
        <v>27</v>
      </c>
    </row>
    <row r="15" customFormat="false" ht="24" hidden="false" customHeight="true" outlineLevel="0" collapsed="false">
      <c r="A15" s="5" t="s">
        <v>28</v>
      </c>
      <c r="B15" s="6" t="n">
        <v>4940</v>
      </c>
      <c r="C15" s="8" t="n">
        <f aca="false">B15/$B$17</f>
        <v>0.240108875279479</v>
      </c>
      <c r="D15" s="10" t="n">
        <v>0.05</v>
      </c>
      <c r="E15" s="10" t="n">
        <v>0.1</v>
      </c>
      <c r="F15" s="10" t="n">
        <v>0.15</v>
      </c>
      <c r="G15" s="7"/>
    </row>
    <row r="16" customFormat="false" ht="24" hidden="false" customHeight="true" outlineLevel="0" collapsed="false">
      <c r="A16" s="5" t="s">
        <v>29</v>
      </c>
      <c r="B16" s="6" t="n">
        <v>11804</v>
      </c>
      <c r="C16" s="8" t="n">
        <f aca="false">B16/$B$17</f>
        <v>0.573733838825702</v>
      </c>
      <c r="D16" s="10" t="n">
        <v>0.03</v>
      </c>
      <c r="E16" s="10" t="n">
        <v>0.05</v>
      </c>
      <c r="F16" s="10" t="n">
        <v>0.15</v>
      </c>
      <c r="G16" s="7"/>
    </row>
    <row r="17" customFormat="false" ht="15" hidden="false" customHeight="false" outlineLevel="0" collapsed="false">
      <c r="A17" s="11" t="s">
        <v>30</v>
      </c>
      <c r="B17" s="12" t="n">
        <f aca="false">SUM(B14:B16)</f>
        <v>20574</v>
      </c>
      <c r="C17" s="13" t="n">
        <f aca="false">SUM(C14:C16)</f>
        <v>1</v>
      </c>
    </row>
    <row r="19" customFormat="false" ht="15" hidden="false" customHeight="false" outlineLevel="0" collapsed="false">
      <c r="A19" s="3" t="s">
        <v>31</v>
      </c>
    </row>
    <row r="20" customFormat="false" ht="15" hidden="false" customHeight="false" outlineLevel="0" collapsed="false">
      <c r="A20" s="4" t="s">
        <v>32</v>
      </c>
      <c r="B20" s="4" t="s">
        <v>33</v>
      </c>
      <c r="C20" s="4" t="s">
        <v>25</v>
      </c>
    </row>
    <row r="21" customFormat="false" ht="15" hidden="false" customHeight="true" outlineLevel="0" collapsed="false">
      <c r="A21" s="5" t="s">
        <v>34</v>
      </c>
      <c r="B21" s="9" t="n">
        <v>0.7</v>
      </c>
      <c r="C21" s="7" t="s">
        <v>35</v>
      </c>
      <c r="D21" s="7"/>
      <c r="E21" s="7"/>
    </row>
    <row r="22" customFormat="false" ht="15" hidden="false" customHeight="false" outlineLevel="0" collapsed="false">
      <c r="A22" s="5" t="s">
        <v>36</v>
      </c>
      <c r="B22" s="9" t="n">
        <v>0.4</v>
      </c>
      <c r="C22" s="7"/>
      <c r="D22" s="7"/>
      <c r="E22" s="7"/>
    </row>
    <row r="24" customFormat="false" ht="15" hidden="false" customHeight="false" outlineLevel="0" collapsed="false">
      <c r="A24" s="3" t="s">
        <v>37</v>
      </c>
    </row>
    <row r="25" customFormat="false" ht="23.85" hidden="false" customHeight="false" outlineLevel="0" collapsed="false">
      <c r="A25" s="4" t="s">
        <v>38</v>
      </c>
      <c r="B25" s="4" t="s">
        <v>39</v>
      </c>
      <c r="C25" s="4" t="s">
        <v>25</v>
      </c>
    </row>
    <row r="26" customFormat="false" ht="15" hidden="false" customHeight="true" outlineLevel="0" collapsed="false">
      <c r="A26" s="5" t="s">
        <v>40</v>
      </c>
      <c r="B26" s="6" t="n">
        <v>791</v>
      </c>
      <c r="C26" s="7" t="s">
        <v>41</v>
      </c>
      <c r="D26" s="7"/>
      <c r="E26" s="7"/>
    </row>
    <row r="27" customFormat="false" ht="15" hidden="false" customHeight="false" outlineLevel="0" collapsed="false">
      <c r="A27" s="5" t="s">
        <v>42</v>
      </c>
      <c r="B27" s="6" t="n">
        <v>1018</v>
      </c>
      <c r="C27" s="7"/>
      <c r="D27" s="7"/>
      <c r="E27" s="7"/>
    </row>
    <row r="28" customFormat="false" ht="15" hidden="false" customHeight="false" outlineLevel="0" collapsed="false">
      <c r="A28" s="5" t="s">
        <v>43</v>
      </c>
      <c r="B28" s="6" t="n">
        <v>1230</v>
      </c>
      <c r="C28" s="7"/>
      <c r="D28" s="7"/>
      <c r="E28" s="7"/>
    </row>
    <row r="30" customFormat="false" ht="15" hidden="false" customHeight="false" outlineLevel="0" collapsed="false">
      <c r="A30" s="3" t="s">
        <v>44</v>
      </c>
    </row>
    <row r="31" customFormat="false" ht="15" hidden="false" customHeight="fals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45</v>
      </c>
    </row>
    <row r="32" customFormat="false" ht="22.35" hidden="false" customHeight="false" outlineLevel="0" collapsed="false">
      <c r="A32" s="5" t="s">
        <v>46</v>
      </c>
      <c r="B32" s="14" t="s">
        <v>43</v>
      </c>
      <c r="C32" s="14" t="s">
        <v>42</v>
      </c>
      <c r="D32" s="14" t="s">
        <v>47</v>
      </c>
      <c r="E32" s="7" t="s">
        <v>48</v>
      </c>
    </row>
    <row r="33" customFormat="false" ht="15" hidden="false" customHeight="false" outlineLevel="0" collapsed="false">
      <c r="A33" s="5" t="s">
        <v>49</v>
      </c>
      <c r="B33" s="15" t="n">
        <v>0.155</v>
      </c>
      <c r="E33" s="7" t="s">
        <v>50</v>
      </c>
    </row>
    <row r="34" customFormat="false" ht="27.75" hidden="false" customHeight="true" outlineLevel="0" collapsed="false">
      <c r="A34" s="16" t="s">
        <v>51</v>
      </c>
      <c r="B34" s="14" t="n">
        <v>1</v>
      </c>
      <c r="E34" s="7" t="s">
        <v>52</v>
      </c>
    </row>
    <row r="35" customFormat="false" ht="27.75" hidden="false" customHeight="true" outlineLevel="0" collapsed="false">
      <c r="A35" s="16" t="s">
        <v>53</v>
      </c>
      <c r="B35" s="14" t="n">
        <v>1</v>
      </c>
      <c r="E35" s="7" t="s">
        <v>54</v>
      </c>
    </row>
  </sheetData>
  <mergeCells count="3">
    <mergeCell ref="G14:G16"/>
    <mergeCell ref="C21:E22"/>
    <mergeCell ref="C26:E28"/>
  </mergeCells>
  <dataValidations count="1">
    <dataValidation allowBlank="false" errorStyle="stop" operator="between" showDropDown="false" showErrorMessage="false" showInputMessage="false" sqref="B32:D32" type="list">
      <formula1>"Moderado,Severo,Extremo,Factor"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7" min="7" style="0" width="50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4" t="s">
        <v>57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30</v>
      </c>
      <c r="G4" s="4" t="s">
        <v>58</v>
      </c>
      <c r="H4" s="4" t="s">
        <v>25</v>
      </c>
    </row>
    <row r="5" customFormat="false" ht="30" hidden="false" customHeight="true" outlineLevel="0" collapsed="false">
      <c r="A5" s="17" t="n">
        <v>1</v>
      </c>
      <c r="B5" s="16" t="s">
        <v>8</v>
      </c>
      <c r="C5" s="18" t="n">
        <f aca="false">Supuestos!B6</f>
        <v>449.2</v>
      </c>
      <c r="D5" s="18" t="n">
        <f aca="false">Supuestos!C6</f>
        <v>334</v>
      </c>
      <c r="E5" s="18" t="n">
        <f aca="false">Supuestos!D6</f>
        <v>746.6</v>
      </c>
      <c r="F5" s="19" t="n">
        <f aca="false">SUM(C5:E5)</f>
        <v>1529.8</v>
      </c>
      <c r="G5" s="7" t="s">
        <v>59</v>
      </c>
      <c r="H5" s="7" t="s">
        <v>60</v>
      </c>
    </row>
    <row r="6" customFormat="false" ht="30" hidden="false" customHeight="true" outlineLevel="0" collapsed="false">
      <c r="A6" s="17" t="n">
        <v>1</v>
      </c>
      <c r="B6" s="16" t="s">
        <v>14</v>
      </c>
      <c r="C6" s="20" t="n">
        <f aca="false">Supuestos!B9</f>
        <v>0.098</v>
      </c>
      <c r="D6" s="20" t="n">
        <f aca="false">Supuestos!C9</f>
        <v>0.066</v>
      </c>
      <c r="E6" s="20" t="n">
        <f aca="false">Supuestos!D9</f>
        <v>0.018</v>
      </c>
      <c r="F6" s="8" t="n">
        <f aca="false">F7/F5</f>
        <v>0.0519704536540724</v>
      </c>
      <c r="G6" s="7" t="s">
        <v>61</v>
      </c>
      <c r="H6" s="7" t="s">
        <v>62</v>
      </c>
    </row>
    <row r="7" customFormat="false" ht="30" hidden="false" customHeight="true" outlineLevel="0" collapsed="false">
      <c r="A7" s="17" t="n">
        <v>1</v>
      </c>
      <c r="B7" s="21" t="s">
        <v>63</v>
      </c>
      <c r="C7" s="12" t="n">
        <f aca="false">C5*C6</f>
        <v>44.0216</v>
      </c>
      <c r="D7" s="12" t="n">
        <f aca="false">D5*D6</f>
        <v>22.044</v>
      </c>
      <c r="E7" s="12" t="n">
        <f aca="false">E5*E6</f>
        <v>13.4388</v>
      </c>
      <c r="F7" s="12" t="n">
        <f aca="false">SUM(C7:E7)</f>
        <v>79.5044</v>
      </c>
      <c r="G7" s="7" t="s">
        <v>64</v>
      </c>
      <c r="H7" s="7" t="s">
        <v>65</v>
      </c>
    </row>
    <row r="8" customFormat="false" ht="30" hidden="false" customHeight="true" outlineLevel="0" collapsed="false"/>
    <row r="9" customFormat="false" ht="30" hidden="false" customHeight="true" outlineLevel="0" collapsed="false">
      <c r="A9" s="17" t="n">
        <v>2</v>
      </c>
      <c r="B9" s="16" t="s">
        <v>66</v>
      </c>
      <c r="C9" s="22" t="n">
        <f aca="false">SUMPRODUCT(Supuestos!$C$14:$C$16,Supuestos!$D$14:$D$16)</f>
        <v>0.0403868960824341</v>
      </c>
      <c r="D9" s="22" t="n">
        <f aca="false">SUMPRODUCT(Supuestos!$C$14:$C$16,Supuestos!$D$14:$D$16)</f>
        <v>0.0403868960824341</v>
      </c>
      <c r="E9" s="22" t="n">
        <f aca="false">SUMPRODUCT(Supuestos!$C$14:$C$16,Supuestos!$D$14:$D$16)</f>
        <v>0.0403868960824341</v>
      </c>
      <c r="F9" s="5"/>
      <c r="G9" s="7" t="s">
        <v>67</v>
      </c>
      <c r="H9" s="7" t="s">
        <v>68</v>
      </c>
    </row>
    <row r="10" customFormat="false" ht="30" hidden="false" customHeight="true" outlineLevel="0" collapsed="false">
      <c r="A10" s="17" t="n">
        <v>2</v>
      </c>
      <c r="B10" s="16" t="s">
        <v>69</v>
      </c>
      <c r="C10" s="22" t="n">
        <f aca="false">SUMPRODUCT(Supuestos!$C$14:$C$16,Supuestos!$E$14:$E$16)</f>
        <v>0.0806211723534558</v>
      </c>
      <c r="D10" s="22" t="n">
        <f aca="false">SUMPRODUCT(Supuestos!$C$14:$C$16,Supuestos!$E$14:$E$16)</f>
        <v>0.0806211723534558</v>
      </c>
      <c r="E10" s="22" t="n">
        <f aca="false">SUMPRODUCT(Supuestos!$C$14:$C$16,Supuestos!$E$14:$E$16)</f>
        <v>0.0806211723534558</v>
      </c>
      <c r="F10" s="5"/>
      <c r="G10" s="7" t="s">
        <v>70</v>
      </c>
      <c r="H10" s="7" t="s">
        <v>71</v>
      </c>
    </row>
    <row r="11" customFormat="false" ht="30" hidden="false" customHeight="true" outlineLevel="0" collapsed="false">
      <c r="A11" s="17" t="n">
        <v>2</v>
      </c>
      <c r="B11" s="16" t="s">
        <v>72</v>
      </c>
      <c r="C11" s="22" t="n">
        <f aca="false">SUMPRODUCT(Supuestos!$C$14:$C$16,Supuestos!$F$14:$F$16)</f>
        <v>0.15</v>
      </c>
      <c r="D11" s="22" t="n">
        <f aca="false">SUMPRODUCT(Supuestos!$C$14:$C$16,Supuestos!$F$14:$F$16)</f>
        <v>0.15</v>
      </c>
      <c r="E11" s="22" t="n">
        <f aca="false">SUMPRODUCT(Supuestos!$C$14:$C$16,Supuestos!$F$14:$F$16)</f>
        <v>0.15</v>
      </c>
      <c r="F11" s="5"/>
      <c r="G11" s="7" t="s">
        <v>73</v>
      </c>
      <c r="H11" s="7" t="s">
        <v>74</v>
      </c>
    </row>
    <row r="12" customFormat="false" ht="30" hidden="false" customHeight="true" outlineLevel="0" collapsed="false"/>
    <row r="13" customFormat="false" ht="30" hidden="false" customHeight="true" outlineLevel="0" collapsed="false">
      <c r="A13" s="17" t="n">
        <v>3</v>
      </c>
      <c r="B13" s="16" t="s">
        <v>31</v>
      </c>
      <c r="C13" s="20" t="n">
        <f aca="false">Supuestos!B10</f>
        <v>0.7</v>
      </c>
      <c r="D13" s="20" t="n">
        <f aca="false">Supuestos!C10</f>
        <v>0.4</v>
      </c>
      <c r="E13" s="20" t="n">
        <f aca="false">Supuestos!D10</f>
        <v>0.4</v>
      </c>
      <c r="F13" s="5"/>
      <c r="G13" s="7" t="s">
        <v>75</v>
      </c>
      <c r="H13" s="7" t="s">
        <v>76</v>
      </c>
    </row>
    <row r="14" customFormat="false" ht="30" hidden="false" customHeight="true" outlineLevel="0" collapsed="false"/>
    <row r="15" customFormat="false" ht="30" hidden="false" customHeight="true" outlineLevel="0" collapsed="false">
      <c r="A15" s="17" t="n">
        <v>4</v>
      </c>
      <c r="B15" s="16" t="s">
        <v>77</v>
      </c>
      <c r="C15" s="22" t="n">
        <f aca="false">C9*C13</f>
        <v>0.0282708272577039</v>
      </c>
      <c r="D15" s="22" t="n">
        <f aca="false">D9*D13</f>
        <v>0.0161547584329737</v>
      </c>
      <c r="E15" s="22" t="n">
        <f aca="false">E9*E13</f>
        <v>0.0161547584329737</v>
      </c>
      <c r="F15" s="5"/>
      <c r="G15" s="7" t="s">
        <v>78</v>
      </c>
      <c r="H15" s="7" t="s">
        <v>79</v>
      </c>
    </row>
    <row r="16" customFormat="false" ht="30" hidden="false" customHeight="true" outlineLevel="0" collapsed="false">
      <c r="A16" s="17" t="n">
        <v>4</v>
      </c>
      <c r="B16" s="16" t="s">
        <v>80</v>
      </c>
      <c r="C16" s="22" t="n">
        <f aca="false">C10*C13</f>
        <v>0.0564348206474191</v>
      </c>
      <c r="D16" s="22" t="n">
        <f aca="false">D10*D13</f>
        <v>0.0322484689413823</v>
      </c>
      <c r="E16" s="22" t="n">
        <f aca="false">E10*E13</f>
        <v>0.0322484689413823</v>
      </c>
      <c r="F16" s="5"/>
      <c r="G16" s="7" t="s">
        <v>78</v>
      </c>
      <c r="H16" s="7" t="s">
        <v>79</v>
      </c>
    </row>
    <row r="17" customFormat="false" ht="30" hidden="false" customHeight="true" outlineLevel="0" collapsed="false">
      <c r="A17" s="17" t="n">
        <v>4</v>
      </c>
      <c r="B17" s="16" t="s">
        <v>81</v>
      </c>
      <c r="C17" s="22" t="n">
        <f aca="false">IF(Supuestos!$B$34=1,Supuestos!$B$33-C6,C16)</f>
        <v>0.057</v>
      </c>
      <c r="D17" s="22" t="n">
        <f aca="false">D16</f>
        <v>0.0322484689413823</v>
      </c>
      <c r="E17" s="22" t="n">
        <f aca="false">E16</f>
        <v>0.0322484689413823</v>
      </c>
      <c r="F17" s="5"/>
      <c r="G17" s="7" t="s">
        <v>82</v>
      </c>
      <c r="H17" s="7" t="s">
        <v>83</v>
      </c>
    </row>
    <row r="18" customFormat="false" ht="30" hidden="false" customHeight="true" outlineLevel="0" collapsed="false">
      <c r="A18" s="17" t="n">
        <v>4</v>
      </c>
      <c r="B18" s="16" t="s">
        <v>84</v>
      </c>
      <c r="C18" s="22" t="n">
        <f aca="false">C11*C13</f>
        <v>0.105</v>
      </c>
      <c r="D18" s="22" t="n">
        <f aca="false">D11*D13</f>
        <v>0.06</v>
      </c>
      <c r="E18" s="22" t="n">
        <f aca="false">E11*E13</f>
        <v>0.06</v>
      </c>
      <c r="F18" s="5"/>
      <c r="G18" s="7" t="s">
        <v>85</v>
      </c>
      <c r="H18" s="7" t="s">
        <v>74</v>
      </c>
    </row>
    <row r="19" customFormat="false" ht="30" hidden="false" customHeight="true" outlineLevel="0" collapsed="false"/>
    <row r="20" customFormat="false" ht="30" hidden="false" customHeight="true" outlineLevel="0" collapsed="false">
      <c r="A20" s="17" t="n">
        <v>5</v>
      </c>
      <c r="B20" s="16" t="s">
        <v>86</v>
      </c>
      <c r="C20" s="23" t="n">
        <f aca="false">IF(Supuestos!$B$35=1,ROUND(Supuestos!$B$28/Supuestos!$B$26,1),Supuestos!$B$28/Supuestos!$B$26)</f>
        <v>1.6</v>
      </c>
      <c r="D20" s="23" t="n">
        <f aca="false">IF(Supuestos!$B$35=1,ROUND(Supuestos!$B$28/Supuestos!$B$26,1),Supuestos!$B$28/Supuestos!$B$26)</f>
        <v>1.6</v>
      </c>
      <c r="E20" s="23" t="n">
        <f aca="false">IF(Supuestos!$B$35=1,ROUND(Supuestos!$B$28/Supuestos!$B$26,1),Supuestos!$B$28/Supuestos!$B$26)</f>
        <v>1.6</v>
      </c>
      <c r="F20" s="5"/>
      <c r="G20" s="7" t="s">
        <v>87</v>
      </c>
      <c r="H20" s="7" t="s">
        <v>88</v>
      </c>
    </row>
    <row r="21" customFormat="false" ht="30" hidden="false" customHeight="true" outlineLevel="0" collapsed="false">
      <c r="A21" s="17" t="n">
        <v>5</v>
      </c>
      <c r="B21" s="16" t="s">
        <v>89</v>
      </c>
      <c r="C21" s="8" t="n">
        <f aca="false">IF(Supuestos!$B$35=1,ROUND(C6*C20,3),C6*C20)</f>
        <v>0.157</v>
      </c>
      <c r="D21" s="8" t="n">
        <f aca="false">IF(Supuestos!$B$35=1,ROUND(D6*D20,3),D6*D20)</f>
        <v>0.106</v>
      </c>
      <c r="E21" s="8" t="n">
        <f aca="false">IF(Supuestos!$B$35=1,ROUND(E6*E20,3),E6*E20)</f>
        <v>0.029</v>
      </c>
      <c r="F21" s="5"/>
      <c r="G21" s="7" t="s">
        <v>90</v>
      </c>
      <c r="H21" s="7" t="s">
        <v>88</v>
      </c>
    </row>
    <row r="22" customFormat="false" ht="30" hidden="false" customHeight="true" outlineLevel="0" collapsed="false"/>
    <row r="23" customFormat="false" ht="30" hidden="false" customHeight="true" outlineLevel="0" collapsed="false">
      <c r="A23" s="17" t="n">
        <v>6</v>
      </c>
      <c r="B23" s="16" t="s">
        <v>91</v>
      </c>
      <c r="C23" s="19" t="n">
        <f aca="false">C7+C5*C15</f>
        <v>56.7208556041606</v>
      </c>
      <c r="D23" s="19" t="n">
        <f aca="false">D7+D5*D15</f>
        <v>27.4396893166132</v>
      </c>
      <c r="E23" s="19" t="n">
        <f aca="false">E7+E5*E15</f>
        <v>25.4999426460581</v>
      </c>
      <c r="F23" s="19" t="n">
        <f aca="false">SUM(C23:E23)</f>
        <v>109.660487566832</v>
      </c>
      <c r="G23" s="7" t="s">
        <v>92</v>
      </c>
      <c r="H23" s="7" t="s">
        <v>93</v>
      </c>
    </row>
    <row r="24" customFormat="false" ht="30" hidden="false" customHeight="true" outlineLevel="0" collapsed="false">
      <c r="A24" s="17" t="n">
        <v>6</v>
      </c>
      <c r="B24" s="16" t="s">
        <v>94</v>
      </c>
      <c r="C24" s="19" t="n">
        <f aca="false">C7+C5*C17</f>
        <v>69.626</v>
      </c>
      <c r="D24" s="19" t="n">
        <f aca="false">D7+D5*D17</f>
        <v>32.8149886264217</v>
      </c>
      <c r="E24" s="19" t="n">
        <f aca="false">E7+E5*E17</f>
        <v>37.515506911636</v>
      </c>
      <c r="F24" s="19" t="n">
        <f aca="false">SUM(C24:E24)</f>
        <v>139.956495538058</v>
      </c>
      <c r="G24" s="7" t="s">
        <v>95</v>
      </c>
      <c r="H24" s="7" t="s">
        <v>93</v>
      </c>
    </row>
    <row r="25" customFormat="false" ht="30" hidden="false" customHeight="true" outlineLevel="0" collapsed="false">
      <c r="A25" s="17" t="n">
        <v>6</v>
      </c>
      <c r="B25" s="16" t="s">
        <v>96</v>
      </c>
      <c r="C25" s="19" t="n">
        <f aca="false">C7+C5*C18</f>
        <v>91.1876</v>
      </c>
      <c r="D25" s="19" t="n">
        <f aca="false">D7+D5*D18</f>
        <v>42.084</v>
      </c>
      <c r="E25" s="19" t="n">
        <f aca="false">E7+E5*E18</f>
        <v>58.2348</v>
      </c>
      <c r="F25" s="19" t="n">
        <f aca="false">SUM(C25:E25)</f>
        <v>191.5064</v>
      </c>
      <c r="G25" s="7" t="s">
        <v>97</v>
      </c>
      <c r="H25" s="7" t="s">
        <v>74</v>
      </c>
    </row>
    <row r="26" customFormat="false" ht="30" hidden="false" customHeight="true" outlineLevel="0" collapsed="false">
      <c r="A26" s="17" t="n">
        <v>6</v>
      </c>
      <c r="B26" s="16" t="s">
        <v>98</v>
      </c>
      <c r="C26" s="19" t="n">
        <f aca="false">C5*C21</f>
        <v>70.5244</v>
      </c>
      <c r="D26" s="19" t="n">
        <f aca="false">D5*D21</f>
        <v>35.404</v>
      </c>
      <c r="E26" s="19" t="n">
        <f aca="false">E5*E21</f>
        <v>21.6514</v>
      </c>
      <c r="F26" s="19" t="n">
        <f aca="false">SUM(C26:E26)</f>
        <v>127.5798</v>
      </c>
      <c r="G26" s="7" t="s">
        <v>99</v>
      </c>
      <c r="H26" s="7" t="s">
        <v>88</v>
      </c>
    </row>
    <row r="27" customFormat="false" ht="30" hidden="false" customHeight="true" outlineLevel="0" collapsed="false"/>
    <row r="28" customFormat="false" ht="30" hidden="false" customHeight="true" outlineLevel="0" collapsed="false">
      <c r="A28" s="17" t="n">
        <v>7</v>
      </c>
      <c r="B28" s="16" t="s">
        <v>46</v>
      </c>
      <c r="C28" s="24" t="str">
        <f aca="false">Supuestos!B32</f>
        <v>Severo</v>
      </c>
      <c r="D28" s="24" t="str">
        <f aca="false">Supuestos!C32</f>
        <v>Moderado</v>
      </c>
      <c r="E28" s="24" t="str">
        <f aca="false">Supuestos!D32</f>
        <v>Factor</v>
      </c>
      <c r="F28" s="5"/>
      <c r="G28" s="7" t="s">
        <v>100</v>
      </c>
      <c r="H28" s="7" t="s">
        <v>62</v>
      </c>
    </row>
    <row r="29" customFormat="false" ht="30" hidden="false" customHeight="true" outlineLevel="0" collapsed="false">
      <c r="A29" s="25" t="n">
        <v>7</v>
      </c>
      <c r="B29" s="26" t="s">
        <v>101</v>
      </c>
      <c r="C29" s="27" t="n">
        <f aca="false">IF(C28="Moderado",C23,IF(C28="Severo",C24,IF(C28="Extremo",C25,C26)))</f>
        <v>69.626</v>
      </c>
      <c r="D29" s="27" t="n">
        <f aca="false">IF(D28="Moderado",D23,IF(D28="Severo",D24,IF(D28="Extremo",D25,D26)))</f>
        <v>27.4396893166132</v>
      </c>
      <c r="E29" s="27" t="n">
        <f aca="false">IF(E28="Moderado",E23,IF(E28="Severo",E24,IF(E28="Extremo",E25,E26)))</f>
        <v>21.6514</v>
      </c>
      <c r="F29" s="27" t="n">
        <f aca="false">SUM(C29:E29)</f>
        <v>118.717089316613</v>
      </c>
      <c r="G29" s="28" t="s">
        <v>102</v>
      </c>
      <c r="H29" s="28" t="s">
        <v>103</v>
      </c>
    </row>
    <row r="30" customFormat="false" ht="30" hidden="false" customHeight="true" outlineLevel="0" collapsed="false">
      <c r="A30" s="25" t="n">
        <v>7</v>
      </c>
      <c r="B30" s="26" t="s">
        <v>104</v>
      </c>
      <c r="C30" s="29" t="n">
        <f aca="false">C29/C5</f>
        <v>0.155</v>
      </c>
      <c r="D30" s="29" t="n">
        <f aca="false">D29/D5</f>
        <v>0.0821547584329737</v>
      </c>
      <c r="E30" s="29" t="n">
        <f aca="false">E29/E5</f>
        <v>0.029</v>
      </c>
      <c r="F30" s="29" t="n">
        <f aca="false">F29/F5</f>
        <v>0.0776030130190961</v>
      </c>
      <c r="G30" s="28" t="s">
        <v>105</v>
      </c>
      <c r="H30" s="28" t="s">
        <v>103</v>
      </c>
    </row>
    <row r="31" customFormat="false" ht="30" hidden="false" customHeight="true" outlineLevel="0" collapsed="false">
      <c r="A31" s="25" t="n">
        <v>7</v>
      </c>
      <c r="B31" s="26" t="s">
        <v>106</v>
      </c>
      <c r="C31" s="27" t="n">
        <f aca="false">C29-C7</f>
        <v>25.6044</v>
      </c>
      <c r="D31" s="27" t="n">
        <f aca="false">D29-D7</f>
        <v>5.3956893166132</v>
      </c>
      <c r="E31" s="27" t="n">
        <f aca="false">E29-E7</f>
        <v>8.2126</v>
      </c>
      <c r="F31" s="27" t="n">
        <f aca="false">SUM(C31:E31)</f>
        <v>39.2126893166132</v>
      </c>
      <c r="G31" s="28" t="s">
        <v>107</v>
      </c>
      <c r="H31" s="2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110</v>
      </c>
    </row>
    <row r="5" customFormat="false" ht="23.85" hidden="false" customHeight="false" outlineLevel="0" collapsed="false">
      <c r="A5" s="4" t="s">
        <v>111</v>
      </c>
      <c r="B5" s="4" t="s">
        <v>112</v>
      </c>
      <c r="C5" s="4" t="s">
        <v>113</v>
      </c>
      <c r="D5" s="4" t="s">
        <v>114</v>
      </c>
      <c r="E5" s="4" t="s">
        <v>115</v>
      </c>
      <c r="F5" s="4" t="s">
        <v>47</v>
      </c>
      <c r="G5" s="4" t="s">
        <v>116</v>
      </c>
      <c r="H5" s="4" t="s">
        <v>117</v>
      </c>
    </row>
    <row r="6" customFormat="false" ht="15" hidden="false" customHeight="false" outlineLevel="0" collapsed="false">
      <c r="A6" s="5" t="s">
        <v>4</v>
      </c>
      <c r="B6" s="18" t="n">
        <f aca="false">'Paso a paso'!C7</f>
        <v>44.0216</v>
      </c>
      <c r="C6" s="18" t="n">
        <f aca="false">'Paso a paso'!C23</f>
        <v>56.7208556041606</v>
      </c>
      <c r="D6" s="18" t="n">
        <f aca="false">'Paso a paso'!C24</f>
        <v>69.626</v>
      </c>
      <c r="E6" s="18" t="n">
        <f aca="false">'Paso a paso'!C25</f>
        <v>91.1876</v>
      </c>
      <c r="F6" s="18" t="n">
        <f aca="false">'Paso a paso'!C26</f>
        <v>70.5244</v>
      </c>
      <c r="G6" s="18" t="n">
        <f aca="false">'Paso a paso'!C29</f>
        <v>69.626</v>
      </c>
      <c r="H6" s="30" t="str">
        <f aca="false">'Paso a paso'!C28</f>
        <v>Severo</v>
      </c>
    </row>
    <row r="7" customFormat="false" ht="15" hidden="false" customHeight="false" outlineLevel="0" collapsed="false">
      <c r="A7" s="5" t="s">
        <v>5</v>
      </c>
      <c r="B7" s="18" t="n">
        <f aca="false">'Paso a paso'!D7</f>
        <v>22.044</v>
      </c>
      <c r="C7" s="18" t="n">
        <f aca="false">'Paso a paso'!D23</f>
        <v>27.4396893166132</v>
      </c>
      <c r="D7" s="18" t="n">
        <f aca="false">'Paso a paso'!D24</f>
        <v>32.8149886264217</v>
      </c>
      <c r="E7" s="18" t="n">
        <f aca="false">'Paso a paso'!D25</f>
        <v>42.084</v>
      </c>
      <c r="F7" s="18" t="n">
        <f aca="false">'Paso a paso'!D26</f>
        <v>35.404</v>
      </c>
      <c r="G7" s="18" t="n">
        <f aca="false">'Paso a paso'!D29</f>
        <v>27.4396893166132</v>
      </c>
      <c r="H7" s="30" t="str">
        <f aca="false">'Paso a paso'!D28</f>
        <v>Moderado</v>
      </c>
    </row>
    <row r="8" customFormat="false" ht="15" hidden="false" customHeight="false" outlineLevel="0" collapsed="false">
      <c r="A8" s="5" t="s">
        <v>6</v>
      </c>
      <c r="B8" s="18" t="n">
        <f aca="false">'Paso a paso'!E7</f>
        <v>13.4388</v>
      </c>
      <c r="C8" s="18" t="n">
        <f aca="false">'Paso a paso'!E23</f>
        <v>25.4999426460581</v>
      </c>
      <c r="D8" s="18" t="n">
        <f aca="false">'Paso a paso'!E24</f>
        <v>37.515506911636</v>
      </c>
      <c r="E8" s="18" t="n">
        <f aca="false">'Paso a paso'!E25</f>
        <v>58.2348</v>
      </c>
      <c r="F8" s="18" t="n">
        <f aca="false">'Paso a paso'!E26</f>
        <v>21.6514</v>
      </c>
      <c r="G8" s="18" t="n">
        <f aca="false">'Paso a paso'!E29</f>
        <v>21.6514</v>
      </c>
      <c r="H8" s="30" t="str">
        <f aca="false">'Paso a paso'!E28</f>
        <v>Factor</v>
      </c>
    </row>
    <row r="9" customFormat="false" ht="15" hidden="false" customHeight="false" outlineLevel="0" collapsed="false">
      <c r="A9" s="11" t="s">
        <v>30</v>
      </c>
      <c r="B9" s="12" t="n">
        <f aca="false">SUM(B6:B8)</f>
        <v>79.5044</v>
      </c>
      <c r="C9" s="12" t="n">
        <f aca="false">SUM(C6:C8)</f>
        <v>109.660487566832</v>
      </c>
      <c r="D9" s="12" t="n">
        <f aca="false">SUM(D6:D8)</f>
        <v>139.956495538058</v>
      </c>
      <c r="E9" s="12" t="n">
        <f aca="false">SUM(E6:E8)</f>
        <v>191.5064</v>
      </c>
      <c r="F9" s="12" t="n">
        <f aca="false">SUM(F6:F8)</f>
        <v>127.5798</v>
      </c>
      <c r="G9" s="12" t="n">
        <f aca="false">SUM(G6:G8)</f>
        <v>118.717089316613</v>
      </c>
    </row>
    <row r="11" customFormat="false" ht="15" hidden="false" customHeight="false" outlineLevel="0" collapsed="false">
      <c r="A11" s="3" t="s">
        <v>118</v>
      </c>
    </row>
    <row r="12" customFormat="false" ht="23.85" hidden="false" customHeight="false" outlineLevel="0" collapsed="false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47</v>
      </c>
      <c r="G12" s="4" t="s">
        <v>116</v>
      </c>
    </row>
    <row r="13" customFormat="false" ht="15" hidden="false" customHeight="false" outlineLevel="0" collapsed="false">
      <c r="A13" s="5" t="s">
        <v>4</v>
      </c>
      <c r="B13" s="8" t="n">
        <f aca="false">B6/'Paso a paso'!C5</f>
        <v>0.098</v>
      </c>
      <c r="C13" s="8" t="n">
        <f aca="false">C6/'Paso a paso'!C5</f>
        <v>0.126270827257704</v>
      </c>
      <c r="D13" s="8" t="n">
        <f aca="false">D6/'Paso a paso'!C5</f>
        <v>0.155</v>
      </c>
      <c r="E13" s="8" t="n">
        <f aca="false">E6/'Paso a paso'!C5</f>
        <v>0.203</v>
      </c>
      <c r="F13" s="8" t="n">
        <f aca="false">F6/'Paso a paso'!C5</f>
        <v>0.157</v>
      </c>
      <c r="G13" s="8" t="n">
        <f aca="false">G6/'Paso a paso'!C5</f>
        <v>0.155</v>
      </c>
    </row>
    <row r="14" customFormat="false" ht="15" hidden="false" customHeight="false" outlineLevel="0" collapsed="false">
      <c r="A14" s="5" t="s">
        <v>5</v>
      </c>
      <c r="B14" s="8" t="n">
        <f aca="false">B7/'Paso a paso'!D5</f>
        <v>0.066</v>
      </c>
      <c r="C14" s="8" t="n">
        <f aca="false">C7/'Paso a paso'!D5</f>
        <v>0.0821547584329737</v>
      </c>
      <c r="D14" s="8" t="n">
        <f aca="false">D7/'Paso a paso'!D5</f>
        <v>0.0982484689413823</v>
      </c>
      <c r="E14" s="8" t="n">
        <f aca="false">E7/'Paso a paso'!D5</f>
        <v>0.126</v>
      </c>
      <c r="F14" s="8" t="n">
        <f aca="false">F7/'Paso a paso'!D5</f>
        <v>0.106</v>
      </c>
      <c r="G14" s="8" t="n">
        <f aca="false">G7/'Paso a paso'!D5</f>
        <v>0.0821547584329737</v>
      </c>
    </row>
    <row r="15" customFormat="false" ht="15" hidden="false" customHeight="false" outlineLevel="0" collapsed="false">
      <c r="A15" s="5" t="s">
        <v>6</v>
      </c>
      <c r="B15" s="8" t="n">
        <f aca="false">B8/'Paso a paso'!E5</f>
        <v>0.018</v>
      </c>
      <c r="C15" s="8" t="n">
        <f aca="false">C8/'Paso a paso'!E5</f>
        <v>0.0341547584329737</v>
      </c>
      <c r="D15" s="8" t="n">
        <f aca="false">D8/'Paso a paso'!E5</f>
        <v>0.0502484689413823</v>
      </c>
      <c r="E15" s="8" t="n">
        <f aca="false">E8/'Paso a paso'!E5</f>
        <v>0.078</v>
      </c>
      <c r="F15" s="8" t="n">
        <f aca="false">F8/'Paso a paso'!E5</f>
        <v>0.029</v>
      </c>
      <c r="G15" s="8" t="n">
        <f aca="false">G8/'Paso a paso'!E5</f>
        <v>0.029</v>
      </c>
    </row>
    <row r="16" customFormat="false" ht="15" hidden="false" customHeight="false" outlineLevel="0" collapsed="false">
      <c r="A16" s="11" t="s">
        <v>30</v>
      </c>
      <c r="B16" s="13" t="n">
        <f aca="false">B9/'Paso a paso'!$F$5</f>
        <v>0.0519704536540724</v>
      </c>
      <c r="C16" s="13" t="n">
        <f aca="false">C9/'Paso a paso'!$F$5</f>
        <v>0.0716828915981383</v>
      </c>
      <c r="D16" s="13" t="n">
        <f aca="false">D9/'Paso a paso'!$F$5</f>
        <v>0.0914867927428799</v>
      </c>
      <c r="E16" s="13" t="n">
        <f aca="false">E9/'Paso a paso'!$F$5</f>
        <v>0.125183945613806</v>
      </c>
      <c r="F16" s="13" t="n">
        <f aca="false">F9/'Paso a paso'!$F$5</f>
        <v>0.0833963916851876</v>
      </c>
      <c r="G16" s="13" t="n">
        <f aca="false">G9/'Paso a paso'!$F$5</f>
        <v>0.0776030130190961</v>
      </c>
    </row>
    <row r="18" customFormat="false" ht="15" hidden="false" customHeight="false" outlineLevel="0" collapsed="false">
      <c r="A18" s="3" t="s">
        <v>119</v>
      </c>
    </row>
    <row r="19" customFormat="false" ht="23.85" hidden="false" customHeight="false" outlineLevel="0" collapsed="false">
      <c r="A19" s="4" t="s">
        <v>111</v>
      </c>
      <c r="B19" s="4" t="s">
        <v>103</v>
      </c>
      <c r="C19" s="4" t="s">
        <v>113</v>
      </c>
      <c r="D19" s="4" t="s">
        <v>114</v>
      </c>
      <c r="E19" s="4" t="s">
        <v>115</v>
      </c>
      <c r="F19" s="4" t="s">
        <v>47</v>
      </c>
      <c r="G19" s="4" t="s">
        <v>116</v>
      </c>
    </row>
    <row r="20" customFormat="false" ht="15" hidden="false" customHeight="false" outlineLevel="0" collapsed="false">
      <c r="A20" s="5" t="s">
        <v>4</v>
      </c>
      <c r="B20" s="5"/>
      <c r="C20" s="19" t="n">
        <f aca="false">C6-$B6</f>
        <v>12.6992556041606</v>
      </c>
      <c r="D20" s="19" t="n">
        <f aca="false">D6-$B6</f>
        <v>25.6044</v>
      </c>
      <c r="E20" s="19" t="n">
        <f aca="false">E6-$B6</f>
        <v>47.166</v>
      </c>
      <c r="F20" s="19" t="n">
        <f aca="false">F6-$B6</f>
        <v>26.5028</v>
      </c>
      <c r="G20" s="19" t="n">
        <f aca="false">G6-$B6</f>
        <v>25.6044</v>
      </c>
    </row>
    <row r="21" customFormat="false" ht="15" hidden="false" customHeight="false" outlineLevel="0" collapsed="false">
      <c r="A21" s="5" t="s">
        <v>5</v>
      </c>
      <c r="B21" s="5"/>
      <c r="C21" s="19" t="n">
        <f aca="false">C7-$B7</f>
        <v>5.3956893166132</v>
      </c>
      <c r="D21" s="19" t="n">
        <f aca="false">D7-$B7</f>
        <v>10.7709886264217</v>
      </c>
      <c r="E21" s="19" t="n">
        <f aca="false">E7-$B7</f>
        <v>20.04</v>
      </c>
      <c r="F21" s="19" t="n">
        <f aca="false">F7-$B7</f>
        <v>13.36</v>
      </c>
      <c r="G21" s="19" t="n">
        <f aca="false">G7-$B7</f>
        <v>5.3956893166132</v>
      </c>
    </row>
    <row r="22" customFormat="false" ht="15" hidden="false" customHeight="false" outlineLevel="0" collapsed="false">
      <c r="A22" s="5" t="s">
        <v>6</v>
      </c>
      <c r="B22" s="5"/>
      <c r="C22" s="19" t="n">
        <f aca="false">C8-$B8</f>
        <v>12.0611426460581</v>
      </c>
      <c r="D22" s="19" t="n">
        <f aca="false">D8-$B8</f>
        <v>24.076706911636</v>
      </c>
      <c r="E22" s="19" t="n">
        <f aca="false">E8-$B8</f>
        <v>44.796</v>
      </c>
      <c r="F22" s="19" t="n">
        <f aca="false">F8-$B8</f>
        <v>8.2126</v>
      </c>
      <c r="G22" s="19" t="n">
        <f aca="false">G8-$B8</f>
        <v>8.2126</v>
      </c>
    </row>
    <row r="23" customFormat="false" ht="15" hidden="false" customHeight="false" outlineLevel="0" collapsed="false">
      <c r="A23" s="11" t="s">
        <v>30</v>
      </c>
      <c r="B23" s="5"/>
      <c r="C23" s="12" t="n">
        <f aca="false">SUM(C20:C22)</f>
        <v>30.1560875668319</v>
      </c>
      <c r="D23" s="12" t="n">
        <f aca="false">SUM(D20:D22)</f>
        <v>60.4520955380577</v>
      </c>
      <c r="E23" s="12" t="n">
        <f aca="false">SUM(E20:E22)</f>
        <v>112.002</v>
      </c>
      <c r="F23" s="12" t="n">
        <f aca="false">SUM(F20:F22)</f>
        <v>48.0754</v>
      </c>
      <c r="G23" s="12" t="n">
        <f aca="false">SUM(G20:G22)</f>
        <v>39.2126893166132</v>
      </c>
    </row>
    <row r="25" customFormat="false" ht="30" hidden="false" customHeight="true" outlineLevel="0" collapsed="false">
      <c r="A25" s="7" t="s">
        <v>120</v>
      </c>
      <c r="B25" s="7"/>
      <c r="C25" s="7"/>
      <c r="D25" s="7"/>
      <c r="E25" s="7"/>
      <c r="F25" s="7"/>
      <c r="G25" s="7"/>
      <c r="H25" s="7"/>
    </row>
  </sheetData>
  <mergeCells count="1"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4" t="s">
        <v>3</v>
      </c>
      <c r="B4" s="4" t="s">
        <v>123</v>
      </c>
      <c r="C4" s="4" t="s">
        <v>58</v>
      </c>
    </row>
    <row r="5" customFormat="false" ht="15" hidden="false" customHeight="false" outlineLevel="0" collapsed="false">
      <c r="A5" s="5" t="s">
        <v>124</v>
      </c>
      <c r="B5" s="18" t="n">
        <f aca="false">'Paso a paso'!C5</f>
        <v>449.2</v>
      </c>
      <c r="C5" s="7" t="s">
        <v>125</v>
      </c>
    </row>
    <row r="6" customFormat="false" ht="15" hidden="false" customHeight="false" outlineLevel="0" collapsed="false">
      <c r="A6" s="5" t="s">
        <v>126</v>
      </c>
      <c r="B6" s="20" t="n">
        <f aca="false">'Paso a paso'!C6</f>
        <v>0.098</v>
      </c>
      <c r="C6" s="7" t="s">
        <v>125</v>
      </c>
    </row>
    <row r="7" customFormat="false" ht="15" hidden="false" customHeight="false" outlineLevel="0" collapsed="false">
      <c r="A7" s="5" t="s">
        <v>127</v>
      </c>
      <c r="B7" s="20" t="n">
        <f aca="false">'Paso a paso'!C13</f>
        <v>0.7</v>
      </c>
      <c r="C7" s="7" t="s">
        <v>125</v>
      </c>
    </row>
    <row r="8" customFormat="false" ht="15" hidden="false" customHeight="false" outlineLevel="0" collapsed="false">
      <c r="A8" s="5" t="s">
        <v>81</v>
      </c>
      <c r="B8" s="31" t="n">
        <f aca="false">'Paso a paso'!C17</f>
        <v>0.057</v>
      </c>
      <c r="C8" s="7" t="s">
        <v>125</v>
      </c>
    </row>
    <row r="9" customFormat="false" ht="15" hidden="false" customHeight="false" outlineLevel="0" collapsed="false">
      <c r="A9" s="5" t="s">
        <v>128</v>
      </c>
      <c r="B9" s="8" t="n">
        <f aca="false">B6/B7</f>
        <v>0.14</v>
      </c>
      <c r="C9" s="7" t="s">
        <v>129</v>
      </c>
    </row>
    <row r="10" customFormat="false" ht="15" hidden="false" customHeight="false" outlineLevel="0" collapsed="false">
      <c r="A10" s="5" t="s">
        <v>130</v>
      </c>
      <c r="B10" s="22" t="n">
        <f aca="false">B8/B7</f>
        <v>0.0814285714285714</v>
      </c>
      <c r="C10" s="7" t="s">
        <v>131</v>
      </c>
    </row>
    <row r="11" customFormat="false" ht="15" hidden="false" customHeight="false" outlineLevel="0" collapsed="false">
      <c r="A11" s="5" t="s">
        <v>132</v>
      </c>
      <c r="B11" s="8" t="n">
        <f aca="false">B9+B10</f>
        <v>0.221428571428571</v>
      </c>
      <c r="C11" s="7" t="s">
        <v>133</v>
      </c>
    </row>
    <row r="13" customFormat="false" ht="23.85" hidden="false" customHeight="false" outlineLevel="0" collapsed="false">
      <c r="A13" s="4" t="s">
        <v>134</v>
      </c>
      <c r="B13" s="4" t="s">
        <v>135</v>
      </c>
      <c r="C13" s="4" t="s">
        <v>136</v>
      </c>
      <c r="D13" s="4" t="s">
        <v>137</v>
      </c>
    </row>
    <row r="14" customFormat="false" ht="15" hidden="false" customHeight="false" outlineLevel="0" collapsed="false">
      <c r="A14" s="32" t="n">
        <v>0.6</v>
      </c>
      <c r="B14" s="8" t="n">
        <f aca="false">$B$11*A14</f>
        <v>0.132857142857143</v>
      </c>
      <c r="C14" s="19" t="n">
        <f aca="false">B14*$B$5</f>
        <v>59.6794285714286</v>
      </c>
      <c r="D14" s="19" t="n">
        <f aca="false">C14-$B$11*$B$7*$B$5</f>
        <v>-9.94657142857143</v>
      </c>
    </row>
    <row r="15" customFormat="false" ht="15" hidden="false" customHeight="false" outlineLevel="0" collapsed="false">
      <c r="A15" s="32" t="n">
        <v>0.7</v>
      </c>
      <c r="B15" s="8" t="n">
        <f aca="false">$B$11*A15</f>
        <v>0.155</v>
      </c>
      <c r="C15" s="19" t="n">
        <f aca="false">B15*$B$5</f>
        <v>69.626</v>
      </c>
      <c r="D15" s="19" t="n">
        <f aca="false">C15-$B$11*$B$7*$B$5</f>
        <v>0</v>
      </c>
    </row>
    <row r="16" customFormat="false" ht="15" hidden="false" customHeight="false" outlineLevel="0" collapsed="false">
      <c r="A16" s="32" t="n">
        <v>0.8</v>
      </c>
      <c r="B16" s="8" t="n">
        <f aca="false">$B$11*A16</f>
        <v>0.177142857142857</v>
      </c>
      <c r="C16" s="19" t="n">
        <f aca="false">B16*$B$5</f>
        <v>79.5725714285714</v>
      </c>
      <c r="D16" s="19" t="n">
        <f aca="false">C16-$B$11*$B$7*$B$5</f>
        <v>9.94657142857143</v>
      </c>
    </row>
    <row r="17" customFormat="false" ht="15" hidden="false" customHeight="false" outlineLevel="0" collapsed="false">
      <c r="A17" s="32" t="n">
        <v>0.9</v>
      </c>
      <c r="B17" s="8" t="n">
        <f aca="false">$B$11*A17</f>
        <v>0.199285714285714</v>
      </c>
      <c r="C17" s="19" t="n">
        <f aca="false">B17*$B$5</f>
        <v>89.5191428571429</v>
      </c>
      <c r="D17" s="19" t="n">
        <f aca="false">C17-$B$11*$B$7*$B$5</f>
        <v>19.8931428571429</v>
      </c>
    </row>
    <row r="19" customFormat="false" ht="27.75" hidden="false" customHeight="true" outlineLevel="0" collapsed="false">
      <c r="A19" s="7" t="s">
        <v>138</v>
      </c>
      <c r="B19" s="7"/>
      <c r="C19" s="7"/>
      <c r="D19" s="7"/>
    </row>
  </sheetData>
  <mergeCells count="1"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139</v>
      </c>
    </row>
    <row r="3" customFormat="false" ht="15" hidden="false" customHeight="false" outlineLevel="0" collapsed="false">
      <c r="A3" s="4" t="s">
        <v>140</v>
      </c>
      <c r="B3" s="4" t="s">
        <v>141</v>
      </c>
      <c r="C3" s="4" t="s">
        <v>25</v>
      </c>
      <c r="D3" s="4" t="s">
        <v>142</v>
      </c>
      <c r="E3" s="4" t="s">
        <v>143</v>
      </c>
      <c r="F3" s="4" t="s">
        <v>144</v>
      </c>
    </row>
    <row r="4" customFormat="false" ht="54" hidden="false" customHeight="true" outlineLevel="0" collapsed="false">
      <c r="A4" s="17" t="n">
        <v>1</v>
      </c>
      <c r="B4" s="16" t="s">
        <v>145</v>
      </c>
      <c r="C4" s="16" t="s">
        <v>146</v>
      </c>
      <c r="D4" s="16" t="s">
        <v>147</v>
      </c>
      <c r="E4" s="16" t="s">
        <v>148</v>
      </c>
      <c r="F4" s="7" t="s">
        <v>149</v>
      </c>
    </row>
    <row r="5" customFormat="false" ht="54" hidden="false" customHeight="true" outlineLevel="0" collapsed="false">
      <c r="A5" s="17" t="n">
        <v>2</v>
      </c>
      <c r="B5" s="16" t="s">
        <v>150</v>
      </c>
      <c r="C5" s="16" t="s">
        <v>151</v>
      </c>
      <c r="D5" s="16" t="s">
        <v>152</v>
      </c>
      <c r="E5" s="16" t="s">
        <v>153</v>
      </c>
      <c r="F5" s="7" t="s">
        <v>154</v>
      </c>
    </row>
    <row r="6" customFormat="false" ht="54" hidden="false" customHeight="true" outlineLevel="0" collapsed="false">
      <c r="A6" s="17" t="n">
        <v>3</v>
      </c>
      <c r="B6" s="16" t="s">
        <v>150</v>
      </c>
      <c r="C6" s="16" t="s">
        <v>155</v>
      </c>
      <c r="D6" s="16" t="s">
        <v>156</v>
      </c>
      <c r="E6" s="16" t="s">
        <v>157</v>
      </c>
      <c r="F6" s="7" t="s">
        <v>154</v>
      </c>
    </row>
    <row r="7" customFormat="false" ht="54" hidden="false" customHeight="true" outlineLevel="0" collapsed="false">
      <c r="A7" s="17" t="n">
        <v>4</v>
      </c>
      <c r="B7" s="16" t="s">
        <v>158</v>
      </c>
      <c r="C7" s="16" t="s">
        <v>159</v>
      </c>
      <c r="D7" s="16" t="s">
        <v>160</v>
      </c>
      <c r="E7" s="16" t="s">
        <v>161</v>
      </c>
      <c r="F7" s="7" t="s">
        <v>162</v>
      </c>
    </row>
    <row r="8" customFormat="false" ht="54" hidden="false" customHeight="true" outlineLevel="0" collapsed="false">
      <c r="A8" s="17" t="n">
        <v>5</v>
      </c>
      <c r="B8" s="16" t="s">
        <v>163</v>
      </c>
      <c r="C8" s="16" t="s">
        <v>164</v>
      </c>
      <c r="D8" s="16" t="s">
        <v>165</v>
      </c>
      <c r="E8" s="16" t="s">
        <v>166</v>
      </c>
      <c r="F8" s="7" t="s">
        <v>167</v>
      </c>
    </row>
    <row r="9" customFormat="false" ht="54" hidden="false" customHeight="true" outlineLevel="0" collapsed="false">
      <c r="A9" s="17" t="n">
        <v>6</v>
      </c>
      <c r="B9" s="16" t="s">
        <v>168</v>
      </c>
      <c r="C9" s="16" t="s">
        <v>164</v>
      </c>
      <c r="D9" s="16" t="s">
        <v>169</v>
      </c>
      <c r="E9" s="16" t="s">
        <v>170</v>
      </c>
      <c r="F9" s="7" t="s">
        <v>171</v>
      </c>
    </row>
    <row r="10" customFormat="false" ht="54" hidden="false" customHeight="true" outlineLevel="0" collapsed="false">
      <c r="A10" s="17" t="n">
        <v>7</v>
      </c>
      <c r="B10" s="16" t="s">
        <v>172</v>
      </c>
      <c r="C10" s="16" t="s">
        <v>164</v>
      </c>
      <c r="D10" s="16" t="s">
        <v>173</v>
      </c>
      <c r="E10" s="16" t="s">
        <v>174</v>
      </c>
      <c r="F10" s="7" t="s">
        <v>175</v>
      </c>
    </row>
    <row r="11" customFormat="false" ht="54" hidden="false" customHeight="true" outlineLevel="0" collapsed="false">
      <c r="A11" s="17" t="n">
        <v>8</v>
      </c>
      <c r="B11" s="16" t="s">
        <v>176</v>
      </c>
      <c r="C11" s="16" t="s">
        <v>164</v>
      </c>
      <c r="D11" s="16" t="s">
        <v>177</v>
      </c>
      <c r="E11" s="16" t="s">
        <v>178</v>
      </c>
      <c r="F11" s="7" t="s">
        <v>179</v>
      </c>
    </row>
    <row r="12" customFormat="false" ht="54" hidden="false" customHeight="true" outlineLevel="0" collapsed="false">
      <c r="A12" s="17" t="n">
        <v>9</v>
      </c>
      <c r="B12" s="16" t="s">
        <v>180</v>
      </c>
      <c r="C12" s="16" t="s">
        <v>164</v>
      </c>
      <c r="D12" s="16" t="s">
        <v>181</v>
      </c>
      <c r="E12" s="16" t="s">
        <v>182</v>
      </c>
      <c r="F12" s="7" t="s">
        <v>183</v>
      </c>
    </row>
    <row r="13" customFormat="false" ht="54" hidden="false" customHeight="true" outlineLevel="0" collapsed="false">
      <c r="A13" s="17" t="n">
        <v>10</v>
      </c>
      <c r="B13" s="16" t="s">
        <v>184</v>
      </c>
      <c r="C13" s="16" t="s">
        <v>164</v>
      </c>
      <c r="D13" s="16" t="s">
        <v>185</v>
      </c>
      <c r="E13" s="16" t="s">
        <v>186</v>
      </c>
      <c r="F13" s="7" t="s">
        <v>187</v>
      </c>
    </row>
    <row r="14" customFormat="false" ht="54" hidden="false" customHeight="true" outlineLevel="0" collapsed="false">
      <c r="A14" s="17" t="n">
        <v>11</v>
      </c>
      <c r="B14" s="16" t="s">
        <v>188</v>
      </c>
      <c r="C14" s="16" t="s">
        <v>159</v>
      </c>
      <c r="D14" s="16" t="s">
        <v>189</v>
      </c>
      <c r="E14" s="16" t="s">
        <v>190</v>
      </c>
      <c r="F14" s="7" t="s">
        <v>191</v>
      </c>
    </row>
    <row r="15" customFormat="false" ht="54" hidden="false" customHeight="true" outlineLevel="0" collapsed="false">
      <c r="A15" s="17" t="n">
        <v>12</v>
      </c>
      <c r="B15" s="16" t="s">
        <v>192</v>
      </c>
      <c r="C15" s="16" t="s">
        <v>193</v>
      </c>
      <c r="D15" s="16" t="s">
        <v>194</v>
      </c>
      <c r="E15" s="16" t="s">
        <v>195</v>
      </c>
      <c r="F15" s="7" t="s">
        <v>191</v>
      </c>
    </row>
    <row r="16" customFormat="false" ht="54" hidden="false" customHeight="true" outlineLevel="0" collapsed="false">
      <c r="A16" s="17" t="n">
        <v>13</v>
      </c>
      <c r="B16" s="16" t="s">
        <v>196</v>
      </c>
      <c r="C16" s="16" t="s">
        <v>197</v>
      </c>
      <c r="D16" s="16" t="s">
        <v>198</v>
      </c>
      <c r="E16" s="16" t="s">
        <v>199</v>
      </c>
      <c r="F16" s="7" t="s">
        <v>162</v>
      </c>
    </row>
    <row r="17" customFormat="false" ht="54" hidden="false" customHeight="true" outlineLevel="0" collapsed="false">
      <c r="A17" s="17" t="n">
        <v>14</v>
      </c>
      <c r="B17" s="16" t="s">
        <v>200</v>
      </c>
      <c r="C17" s="16" t="s">
        <v>74</v>
      </c>
      <c r="D17" s="16" t="s">
        <v>103</v>
      </c>
      <c r="E17" s="16" t="s">
        <v>201</v>
      </c>
      <c r="F17" s="7" t="s">
        <v>202</v>
      </c>
    </row>
    <row r="18" customFormat="false" ht="54" hidden="false" customHeight="true" outlineLevel="0" collapsed="false">
      <c r="A18" s="17" t="n">
        <v>15</v>
      </c>
      <c r="B18" s="16" t="s">
        <v>203</v>
      </c>
      <c r="C18" s="16" t="s">
        <v>62</v>
      </c>
      <c r="D18" s="16" t="s">
        <v>204</v>
      </c>
      <c r="E18" s="16" t="s">
        <v>205</v>
      </c>
      <c r="F18" s="7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2026-10-05T18:39:50Z</dcterms:created>
  <dc:creator>openpyxl</dc:creator>
  <dc:description/>
  <dc:language>en-US</dc:language>
  <cp:lastModifiedBy/>
  <dcterms:modified xsi:type="dcterms:W3CDTF">2026-10-05T18:39:50Z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